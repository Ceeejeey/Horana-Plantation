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ICT HPL\WEB SITE\ANNUAL REPORT\2026\"/>
    </mc:Choice>
  </mc:AlternateContent>
  <xr:revisionPtr revIDLastSave="0" documentId="8_{AFC9CA11-1DCC-4313-A150-7567D8386C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4" i="1" l="1"/>
  <c r="Q57" i="1"/>
  <c r="J57" i="1"/>
  <c r="P57" i="1"/>
  <c r="Q28" i="1" l="1"/>
  <c r="P37" i="1"/>
  <c r="P24" i="1"/>
  <c r="P28" i="1" s="1"/>
  <c r="O58" i="1"/>
  <c r="O57" i="1"/>
  <c r="O56" i="1"/>
  <c r="O55" i="1"/>
  <c r="L52" i="1"/>
  <c r="J45" i="1"/>
  <c r="I45" i="1"/>
  <c r="H45" i="1"/>
  <c r="G45" i="1"/>
  <c r="K43" i="1"/>
  <c r="K45" i="1" s="1"/>
  <c r="J43" i="1"/>
  <c r="I43" i="1"/>
  <c r="H43" i="1"/>
  <c r="G43" i="1"/>
  <c r="G37" i="1"/>
  <c r="O66" i="1"/>
  <c r="K34" i="1"/>
  <c r="K37" i="1" s="1"/>
  <c r="J34" i="1"/>
  <c r="I34" i="1"/>
  <c r="I37" i="1" s="1"/>
  <c r="H34" i="1"/>
  <c r="H37" i="1" s="1"/>
  <c r="G34" i="1"/>
  <c r="L34" i="1"/>
  <c r="L37" i="1" s="1"/>
  <c r="N31" i="1"/>
  <c r="N28" i="1"/>
  <c r="J28" i="1"/>
  <c r="I28" i="1"/>
  <c r="H28" i="1"/>
  <c r="G28" i="1"/>
  <c r="K26" i="1"/>
  <c r="K28" i="1" s="1"/>
  <c r="O28" i="1"/>
  <c r="N21" i="1"/>
  <c r="N65" i="1"/>
  <c r="N64" i="1"/>
  <c r="N60" i="1"/>
  <c r="O65" i="1" l="1"/>
  <c r="N44" i="1"/>
  <c r="N34" i="1"/>
  <c r="N62" i="1" s="1"/>
  <c r="N66" i="1"/>
  <c r="O37" i="1"/>
  <c r="N63" i="1"/>
  <c r="E28" i="1" l="1"/>
  <c r="E45" i="1" l="1"/>
  <c r="F45" i="1"/>
  <c r="D45" i="1"/>
  <c r="D43" i="1"/>
  <c r="E43" i="1"/>
  <c r="F43" i="1"/>
  <c r="C43" i="1"/>
  <c r="D28" i="1" l="1"/>
  <c r="F28" i="1"/>
  <c r="C28" i="1"/>
  <c r="D34" i="1"/>
  <c r="D37" i="1" s="1"/>
  <c r="E34" i="1"/>
  <c r="E37" i="1" s="1"/>
  <c r="F34" i="1"/>
  <c r="F37" i="1" s="1"/>
  <c r="C34" i="1"/>
  <c r="C37" i="1" s="1"/>
  <c r="S9" i="1" l="1"/>
  <c r="U9" i="1" s="1"/>
  <c r="S7" i="1"/>
  <c r="U7" i="1" s="1"/>
  <c r="S8" i="1" l="1"/>
  <c r="U8" i="1" s="1"/>
  <c r="S6" i="1"/>
  <c r="U6" i="1" s="1"/>
  <c r="S10" i="1" l="1"/>
  <c r="U10" i="1" s="1"/>
  <c r="Q34" i="1" l="1"/>
  <c r="Q37" i="1" s="1"/>
</calcChain>
</file>

<file path=xl/sharedStrings.xml><?xml version="1.0" encoding="utf-8"?>
<sst xmlns="http://schemas.openxmlformats.org/spreadsheetml/2006/main" count="114" uniqueCount="78">
  <si>
    <t>HORANA PLANTATIONS PLC</t>
  </si>
  <si>
    <t>Ten Year Summary</t>
  </si>
  <si>
    <t>Operating Results</t>
  </si>
  <si>
    <t>Revenue</t>
  </si>
  <si>
    <t>Rs'000</t>
  </si>
  <si>
    <t>2010/11</t>
  </si>
  <si>
    <t>2011/12</t>
  </si>
  <si>
    <t>2012/13</t>
  </si>
  <si>
    <t>2013/14</t>
  </si>
  <si>
    <t>2015/16</t>
  </si>
  <si>
    <t>2016/17</t>
  </si>
  <si>
    <t>2017/18</t>
  </si>
  <si>
    <t>2018/19</t>
  </si>
  <si>
    <t>2019/20</t>
  </si>
  <si>
    <t>Gross Profit</t>
  </si>
  <si>
    <t>Profit from Operations</t>
  </si>
  <si>
    <t>Profit/(Loss) before Tax</t>
  </si>
  <si>
    <t>Profit/(Loss) for the year</t>
  </si>
  <si>
    <t>Net Assets Employed</t>
  </si>
  <si>
    <t>Property, Plant &amp; Equipments</t>
  </si>
  <si>
    <t>Capital Employed</t>
  </si>
  <si>
    <t>Stated Capital</t>
  </si>
  <si>
    <t>Capital Reserves</t>
  </si>
  <si>
    <t>Revenue Reserves</t>
  </si>
  <si>
    <t>Borrowings</t>
  </si>
  <si>
    <t>Consumable Biological Assets</t>
  </si>
  <si>
    <t>Current Assets</t>
  </si>
  <si>
    <t>Total Assets</t>
  </si>
  <si>
    <t>Key Indicators</t>
  </si>
  <si>
    <t>Net Increase/(Decrease) in Cash and Cash Equivalents</t>
  </si>
  <si>
    <t>Cash and Cash Equivalents at the beginning</t>
  </si>
  <si>
    <t>Cash and Cash Equivalents at the end</t>
  </si>
  <si>
    <t>Dividend per Share</t>
  </si>
  <si>
    <t>Net Assets per Share</t>
  </si>
  <si>
    <t>Price Earnings Ratio</t>
  </si>
  <si>
    <t>Earning Yield</t>
  </si>
  <si>
    <t>Interest Cover</t>
  </si>
  <si>
    <t>Dividend Cover</t>
  </si>
  <si>
    <t>Dividend Payout</t>
  </si>
  <si>
    <t>Effective Dividend Rate</t>
  </si>
  <si>
    <t>Dividend Yield</t>
  </si>
  <si>
    <t>Current Ratio</t>
  </si>
  <si>
    <t>%</t>
  </si>
  <si>
    <t>Revenue to Capital Employed</t>
  </si>
  <si>
    <t>Return on Equity</t>
  </si>
  <si>
    <t>Return on Capital Employed</t>
  </si>
  <si>
    <t>Return on Total Assets</t>
  </si>
  <si>
    <t>Gearing</t>
  </si>
  <si>
    <t>2020/21</t>
  </si>
  <si>
    <t>2021/22</t>
  </si>
  <si>
    <t>Profit/(Loss) after Tax</t>
  </si>
  <si>
    <t xml:space="preserve">Change                 </t>
  </si>
  <si>
    <t>2022/23</t>
  </si>
  <si>
    <t>2023/24</t>
  </si>
  <si>
    <t>Profit/(Loss) from Operations</t>
  </si>
  <si>
    <t xml:space="preserve">Gross Profit/(Loss) </t>
  </si>
  <si>
    <t>Net Finance Expenses</t>
  </si>
  <si>
    <t>Tax (Expense)/Reversals</t>
  </si>
  <si>
    <t>Other Comprehensive Income/(Expenses)</t>
  </si>
  <si>
    <t>Total Comprehensive Income/(Expenses)</t>
  </si>
  <si>
    <t>Non-Current Assets</t>
  </si>
  <si>
    <t>Non-Current Liabilities (excluding Borrowings)</t>
  </si>
  <si>
    <t>Total Net Assets (excluding Borrowings)</t>
  </si>
  <si>
    <t>Cash Flows</t>
  </si>
  <si>
    <t>Current Liabilities (excluding Borrowings)</t>
  </si>
  <si>
    <t>Shareholders' Equity</t>
  </si>
  <si>
    <t>Net Cash Outflow from Investing Activities</t>
  </si>
  <si>
    <t xml:space="preserve">Net Cash Inflow/(Outflow) from Operating Activities </t>
  </si>
  <si>
    <t>Net Cash Inflow/(Outflow) from Financing Activities</t>
  </si>
  <si>
    <t>Earnings/(Loss) per Share</t>
  </si>
  <si>
    <t>Market Value per Share</t>
  </si>
  <si>
    <t>Property, Plant &amp; Equipment to Shareholders' Equity</t>
  </si>
  <si>
    <t>Equity to Total Assets</t>
  </si>
  <si>
    <t>Times</t>
  </si>
  <si>
    <t>2024/25</t>
  </si>
  <si>
    <t>2025/26</t>
  </si>
  <si>
    <t>Year 2025/26</t>
  </si>
  <si>
    <t>Rs. Cts.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</si>
</sst>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1"/>
      <name val="Californian FB"/>
      <family val="1"/>
    </font>
    <font>
      <sz val="22"/>
      <color theme="1"/>
      <name val="Californian FB"/>
      <family val="1"/>
    </font>
    <font>
      <sz val="22"/>
      <color indexed="8"/>
      <name val="Californian FB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 style="dashed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">
    <xf numFmtId="0" fontId="0" fillId="0" borderId="0" xfId="0"/>
    <xf numFmtId="165" fontId="3" fillId="0" borderId="0" xfId="1" applyNumberFormat="1" applyFont="1" applyFill="1" applyAlignment="1">
      <alignment vertical="center"/>
    </xf>
    <xf numFmtId="165" fontId="4" fillId="0" borderId="0" xfId="1" applyNumberFormat="1" applyFont="1" applyFill="1" applyAlignment="1">
      <alignment vertical="center"/>
    </xf>
    <xf numFmtId="165" fontId="4" fillId="2" borderId="0" xfId="1" applyNumberFormat="1" applyFont="1" applyFill="1" applyAlignment="1">
      <alignment vertical="center"/>
    </xf>
    <xf numFmtId="165" fontId="4" fillId="2" borderId="0" xfId="1" quotePrefix="1" applyNumberFormat="1" applyFont="1" applyFill="1" applyAlignment="1">
      <alignment horizontal="center" vertical="center"/>
    </xf>
    <xf numFmtId="165" fontId="4" fillId="2" borderId="0" xfId="1" quotePrefix="1" applyNumberFormat="1" applyFont="1" applyFill="1" applyAlignment="1">
      <alignment vertical="center"/>
    </xf>
    <xf numFmtId="165" fontId="3" fillId="0" borderId="0" xfId="1" quotePrefix="1" applyNumberFormat="1" applyFont="1" applyFill="1" applyAlignment="1">
      <alignment vertical="center"/>
    </xf>
    <xf numFmtId="165" fontId="4" fillId="2" borderId="4" xfId="1" applyNumberFormat="1" applyFont="1" applyFill="1" applyBorder="1" applyAlignment="1">
      <alignment vertical="center"/>
    </xf>
    <xf numFmtId="165" fontId="3" fillId="2" borderId="2" xfId="1" quotePrefix="1" applyNumberFormat="1" applyFont="1" applyFill="1" applyBorder="1" applyAlignment="1">
      <alignment horizontal="center" vertical="center"/>
    </xf>
    <xf numFmtId="165" fontId="4" fillId="2" borderId="2" xfId="1" quotePrefix="1" applyNumberFormat="1" applyFont="1" applyFill="1" applyBorder="1" applyAlignment="1">
      <alignment horizontal="center" vertical="center"/>
    </xf>
    <xf numFmtId="165" fontId="4" fillId="2" borderId="0" xfId="1" applyNumberFormat="1" applyFont="1" applyFill="1" applyAlignment="1">
      <alignment horizontal="center" vertical="center"/>
    </xf>
    <xf numFmtId="165" fontId="4" fillId="0" borderId="0" xfId="1" applyNumberFormat="1" applyFont="1" applyFill="1" applyAlignment="1">
      <alignment horizontal="center" vertical="center"/>
    </xf>
    <xf numFmtId="165" fontId="4" fillId="2" borderId="5" xfId="1" applyNumberFormat="1" applyFont="1" applyFill="1" applyBorder="1" applyAlignment="1">
      <alignment vertical="center"/>
    </xf>
    <xf numFmtId="165" fontId="3" fillId="2" borderId="3" xfId="1" applyNumberFormat="1" applyFont="1" applyFill="1" applyBorder="1" applyAlignment="1">
      <alignment horizontal="center" vertical="center"/>
    </xf>
    <xf numFmtId="165" fontId="4" fillId="2" borderId="3" xfId="1" applyNumberFormat="1" applyFont="1" applyFill="1" applyBorder="1" applyAlignment="1">
      <alignment horizontal="center" vertical="center"/>
    </xf>
    <xf numFmtId="0" fontId="5" fillId="2" borderId="1" xfId="0" applyFont="1" applyFill="1" applyBorder="1"/>
    <xf numFmtId="165" fontId="3" fillId="2" borderId="1" xfId="1" applyNumberFormat="1" applyFont="1" applyFill="1" applyBorder="1" applyAlignment="1">
      <alignment vertical="center"/>
    </xf>
    <xf numFmtId="165" fontId="4" fillId="2" borderId="1" xfId="1" applyNumberFormat="1" applyFont="1" applyFill="1" applyBorder="1" applyAlignment="1">
      <alignment vertical="center"/>
    </xf>
    <xf numFmtId="9" fontId="3" fillId="2" borderId="1" xfId="2" applyFont="1" applyFill="1" applyBorder="1" applyAlignment="1">
      <alignment vertical="center"/>
    </xf>
    <xf numFmtId="165" fontId="4" fillId="0" borderId="8" xfId="1" applyNumberFormat="1" applyFont="1" applyFill="1" applyBorder="1" applyAlignment="1">
      <alignment vertical="center"/>
    </xf>
    <xf numFmtId="165" fontId="4" fillId="2" borderId="8" xfId="1" applyNumberFormat="1" applyFont="1" applyFill="1" applyBorder="1" applyAlignment="1">
      <alignment vertical="center"/>
    </xf>
    <xf numFmtId="165" fontId="3" fillId="0" borderId="8" xfId="1" applyNumberFormat="1" applyFont="1" applyFill="1" applyBorder="1" applyAlignment="1">
      <alignment vertical="center"/>
    </xf>
    <xf numFmtId="165" fontId="4" fillId="0" borderId="9" xfId="1" applyNumberFormat="1" applyFont="1" applyFill="1" applyBorder="1" applyAlignment="1">
      <alignment vertical="center"/>
    </xf>
    <xf numFmtId="165" fontId="4" fillId="2" borderId="9" xfId="1" applyNumberFormat="1" applyFont="1" applyFill="1" applyBorder="1" applyAlignment="1">
      <alignment vertical="center"/>
    </xf>
    <xf numFmtId="165" fontId="3" fillId="0" borderId="9" xfId="1" applyNumberFormat="1" applyFont="1" applyFill="1" applyBorder="1" applyAlignment="1">
      <alignment vertical="center"/>
    </xf>
    <xf numFmtId="165" fontId="3" fillId="0" borderId="7" xfId="1" applyNumberFormat="1" applyFont="1" applyFill="1" applyBorder="1" applyAlignment="1">
      <alignment vertical="center"/>
    </xf>
    <xf numFmtId="165" fontId="3" fillId="2" borderId="7" xfId="1" applyNumberFormat="1" applyFont="1" applyFill="1" applyBorder="1" applyAlignment="1">
      <alignment vertical="center"/>
    </xf>
    <xf numFmtId="165" fontId="3" fillId="2" borderId="0" xfId="1" applyNumberFormat="1" applyFont="1" applyFill="1" applyAlignment="1">
      <alignment vertical="center"/>
    </xf>
    <xf numFmtId="165" fontId="3" fillId="0" borderId="6" xfId="1" applyNumberFormat="1" applyFont="1" applyFill="1" applyBorder="1" applyAlignment="1">
      <alignment vertical="center"/>
    </xf>
    <xf numFmtId="165" fontId="4" fillId="0" borderId="6" xfId="1" applyNumberFormat="1" applyFont="1" applyFill="1" applyBorder="1" applyAlignment="1">
      <alignment vertical="center"/>
    </xf>
    <xf numFmtId="165" fontId="3" fillId="2" borderId="6" xfId="1" applyNumberFormat="1" applyFont="1" applyFill="1" applyBorder="1" applyAlignment="1">
      <alignment vertical="center"/>
    </xf>
    <xf numFmtId="165" fontId="4" fillId="0" borderId="7" xfId="1" applyNumberFormat="1" applyFont="1" applyFill="1" applyBorder="1" applyAlignment="1">
      <alignment vertical="center"/>
    </xf>
    <xf numFmtId="165" fontId="4" fillId="2" borderId="7" xfId="1" applyNumberFormat="1" applyFont="1" applyFill="1" applyBorder="1" applyAlignment="1">
      <alignment vertical="center"/>
    </xf>
    <xf numFmtId="164" fontId="4" fillId="2" borderId="0" xfId="1" applyFont="1" applyFill="1" applyAlignment="1">
      <alignment vertical="center"/>
    </xf>
    <xf numFmtId="164" fontId="4" fillId="2" borderId="8" xfId="1" applyFont="1" applyFill="1" applyBorder="1" applyAlignment="1">
      <alignment vertical="center"/>
    </xf>
    <xf numFmtId="164" fontId="3" fillId="0" borderId="8" xfId="1" applyFont="1" applyFill="1" applyBorder="1" applyAlignment="1">
      <alignment vertical="center"/>
    </xf>
    <xf numFmtId="10" fontId="4" fillId="2" borderId="0" xfId="2" applyNumberFormat="1" applyFont="1" applyFill="1" applyAlignment="1">
      <alignment vertical="center"/>
    </xf>
    <xf numFmtId="164" fontId="4" fillId="2" borderId="0" xfId="1" applyNumberFormat="1" applyFont="1" applyFill="1" applyAlignment="1">
      <alignment vertical="center"/>
    </xf>
    <xf numFmtId="164" fontId="4" fillId="0" borderId="8" xfId="1" applyFont="1" applyFill="1" applyBorder="1" applyAlignment="1">
      <alignment vertical="center"/>
    </xf>
    <xf numFmtId="165" fontId="3" fillId="2" borderId="2" xfId="1" applyNumberFormat="1" applyFont="1" applyFill="1" applyBorder="1" applyAlignment="1">
      <alignment horizontal="center" vertical="center" wrapText="1"/>
    </xf>
    <xf numFmtId="165" fontId="3" fillId="2" borderId="3" xfId="1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6"/>
  <sheetViews>
    <sheetView tabSelected="1" zoomScale="80" zoomScaleNormal="80" zoomScaleSheetLayoutView="80" workbookViewId="0">
      <pane xSplit="4" ySplit="5" topLeftCell="H61" activePane="bottomRight" state="frozen"/>
      <selection pane="topRight" activeCell="G1" sqref="G1"/>
      <selection pane="bottomLeft" activeCell="A6" sqref="A6"/>
      <selection pane="bottomRight" activeCell="B36" sqref="B36"/>
    </sheetView>
  </sheetViews>
  <sheetFormatPr defaultColWidth="8.88671875" defaultRowHeight="21" customHeight="1" x14ac:dyDescent="0.3"/>
  <cols>
    <col min="1" max="1" width="88.6640625" style="2" bestFit="1" customWidth="1"/>
    <col min="2" max="2" width="21.88671875" style="2" customWidth="1"/>
    <col min="3" max="3" width="20.33203125" style="3" hidden="1" customWidth="1"/>
    <col min="4" max="4" width="26.33203125" style="3" hidden="1" customWidth="1"/>
    <col min="5" max="6" width="19.77734375" style="3" hidden="1" customWidth="1"/>
    <col min="7" max="7" width="20.33203125" style="3" hidden="1" customWidth="1"/>
    <col min="8" max="8" width="22.109375" style="3" bestFit="1" customWidth="1"/>
    <col min="9" max="9" width="23.6640625" style="3" bestFit="1" customWidth="1"/>
    <col min="10" max="10" width="22.33203125" style="3" bestFit="1" customWidth="1"/>
    <col min="11" max="11" width="22" style="3" bestFit="1" customWidth="1"/>
    <col min="12" max="12" width="22.5546875" style="3" bestFit="1" customWidth="1"/>
    <col min="13" max="13" width="22.88671875" style="3" bestFit="1" customWidth="1"/>
    <col min="14" max="14" width="21.77734375" style="3" bestFit="1" customWidth="1"/>
    <col min="15" max="15" width="22.88671875" style="3" bestFit="1" customWidth="1"/>
    <col min="16" max="16" width="22.6640625" style="3" bestFit="1" customWidth="1"/>
    <col min="17" max="17" width="24.33203125" style="1" bestFit="1" customWidth="1"/>
    <col min="18" max="18" width="38.77734375" style="3" hidden="1" customWidth="1"/>
    <col min="19" max="19" width="18.44140625" style="3" hidden="1" customWidth="1"/>
    <col min="20" max="20" width="19.21875" style="3" hidden="1" customWidth="1"/>
    <col min="21" max="21" width="10.6640625" style="3" hidden="1" customWidth="1"/>
    <col min="22" max="22" width="14.44140625" style="3" hidden="1" customWidth="1"/>
    <col min="23" max="23" width="14.33203125" style="3" hidden="1" customWidth="1"/>
    <col min="24" max="24" width="14.44140625" style="3" customWidth="1"/>
    <col min="25" max="16384" width="8.88671875" style="3"/>
  </cols>
  <sheetData>
    <row r="1" spans="1:21" ht="21" customHeight="1" x14ac:dyDescent="0.3">
      <c r="A1" s="1" t="s">
        <v>0</v>
      </c>
    </row>
    <row r="2" spans="1:21" ht="21" customHeight="1" x14ac:dyDescent="0.3">
      <c r="A2" s="1" t="s">
        <v>1</v>
      </c>
    </row>
    <row r="3" spans="1:21" ht="21" customHeight="1" x14ac:dyDescent="0.3">
      <c r="A3" s="1" t="s">
        <v>76</v>
      </c>
    </row>
    <row r="4" spans="1:21" ht="21" customHeight="1" x14ac:dyDescent="0.3"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48</v>
      </c>
      <c r="M4" s="5" t="s">
        <v>49</v>
      </c>
      <c r="N4" s="5" t="s">
        <v>52</v>
      </c>
      <c r="O4" s="4" t="s">
        <v>53</v>
      </c>
      <c r="P4" s="4" t="s">
        <v>74</v>
      </c>
      <c r="Q4" s="6" t="s">
        <v>75</v>
      </c>
      <c r="R4" s="7"/>
      <c r="S4" s="8" t="s">
        <v>52</v>
      </c>
      <c r="T4" s="9" t="s">
        <v>49</v>
      </c>
      <c r="U4" s="39" t="s">
        <v>51</v>
      </c>
    </row>
    <row r="5" spans="1:21" ht="21" customHeight="1" x14ac:dyDescent="0.3">
      <c r="C5" s="10" t="s">
        <v>4</v>
      </c>
      <c r="D5" s="10" t="s">
        <v>4</v>
      </c>
      <c r="E5" s="10" t="s">
        <v>4</v>
      </c>
      <c r="F5" s="10" t="s">
        <v>4</v>
      </c>
      <c r="G5" s="10" t="s">
        <v>4</v>
      </c>
      <c r="H5" s="10" t="s">
        <v>4</v>
      </c>
      <c r="I5" s="10" t="s">
        <v>4</v>
      </c>
      <c r="J5" s="10" t="s">
        <v>4</v>
      </c>
      <c r="K5" s="10" t="s">
        <v>4</v>
      </c>
      <c r="L5" s="10" t="s">
        <v>4</v>
      </c>
      <c r="M5" s="10" t="s">
        <v>4</v>
      </c>
      <c r="N5" s="10" t="s">
        <v>4</v>
      </c>
      <c r="O5" s="10" t="s">
        <v>4</v>
      </c>
      <c r="P5" s="10" t="s">
        <v>4</v>
      </c>
      <c r="Q5" s="11" t="s">
        <v>4</v>
      </c>
      <c r="R5" s="12"/>
      <c r="S5" s="13" t="s">
        <v>4</v>
      </c>
      <c r="T5" s="14" t="s">
        <v>4</v>
      </c>
      <c r="U5" s="40"/>
    </row>
    <row r="6" spans="1:21" ht="21" customHeight="1" x14ac:dyDescent="0.5">
      <c r="A6" s="1" t="s">
        <v>2</v>
      </c>
      <c r="R6" s="15" t="s">
        <v>3</v>
      </c>
      <c r="S6" s="16">
        <f>+O7</f>
        <v>3385734.949</v>
      </c>
      <c r="T6" s="17">
        <v>2563636.1320000002</v>
      </c>
      <c r="U6" s="18">
        <f>+(S6-T6)/T6</f>
        <v>0.32067687248527194</v>
      </c>
    </row>
    <row r="7" spans="1:21" ht="21" customHeight="1" x14ac:dyDescent="0.5">
      <c r="A7" s="19" t="s">
        <v>3</v>
      </c>
      <c r="B7" s="19"/>
      <c r="C7" s="20">
        <v>2079720</v>
      </c>
      <c r="D7" s="20">
        <v>2025043</v>
      </c>
      <c r="E7" s="20">
        <v>2220225</v>
      </c>
      <c r="F7" s="20">
        <v>2269092</v>
      </c>
      <c r="G7" s="20">
        <v>1806106</v>
      </c>
      <c r="H7" s="20">
        <v>1947278</v>
      </c>
      <c r="I7" s="20">
        <v>2248463</v>
      </c>
      <c r="J7" s="20">
        <v>2020360</v>
      </c>
      <c r="K7" s="20">
        <v>1762154</v>
      </c>
      <c r="L7" s="20">
        <v>2125305.9449999998</v>
      </c>
      <c r="M7" s="20">
        <v>2563636.1310000001</v>
      </c>
      <c r="N7" s="20">
        <v>3794035.1371974573</v>
      </c>
      <c r="O7" s="20">
        <v>3385734.949</v>
      </c>
      <c r="P7" s="20">
        <v>3697216.3281699996</v>
      </c>
      <c r="Q7" s="21">
        <v>3950038.84767</v>
      </c>
      <c r="R7" s="15" t="s">
        <v>14</v>
      </c>
      <c r="S7" s="16">
        <f>+O9</f>
        <v>653255.05989000015</v>
      </c>
      <c r="T7" s="17">
        <v>371010.36266999971</v>
      </c>
      <c r="U7" s="18">
        <f t="shared" ref="U7:U8" si="0">+(S7-T7)/T7</f>
        <v>0.76074612899976291</v>
      </c>
    </row>
    <row r="8" spans="1:21" ht="21" customHeight="1" x14ac:dyDescent="0.5">
      <c r="A8" s="19"/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1"/>
      <c r="R8" s="15" t="s">
        <v>15</v>
      </c>
      <c r="S8" s="16">
        <f>+O11</f>
        <v>461103.24289000011</v>
      </c>
      <c r="T8" s="17">
        <v>208685.14866999967</v>
      </c>
      <c r="U8" s="18">
        <f t="shared" si="0"/>
        <v>1.2095642446466424</v>
      </c>
    </row>
    <row r="9" spans="1:21" ht="21" customHeight="1" x14ac:dyDescent="0.5">
      <c r="A9" s="19" t="s">
        <v>55</v>
      </c>
      <c r="B9" s="19"/>
      <c r="C9" s="20">
        <v>464708</v>
      </c>
      <c r="D9" s="20">
        <v>200814</v>
      </c>
      <c r="E9" s="20">
        <v>369330</v>
      </c>
      <c r="F9" s="20">
        <v>271161</v>
      </c>
      <c r="G9" s="20">
        <v>-1574</v>
      </c>
      <c r="H9" s="20">
        <v>102743</v>
      </c>
      <c r="I9" s="20">
        <v>265515</v>
      </c>
      <c r="J9" s="20">
        <v>196608</v>
      </c>
      <c r="K9" s="20">
        <v>-217542</v>
      </c>
      <c r="L9" s="20">
        <v>200454.74</v>
      </c>
      <c r="M9" s="20">
        <v>371009.86</v>
      </c>
      <c r="N9" s="20">
        <v>1234688.8568119467</v>
      </c>
      <c r="O9" s="20">
        <v>653255.05989000015</v>
      </c>
      <c r="P9" s="20">
        <v>731820.88911619876</v>
      </c>
      <c r="Q9" s="21">
        <v>652379.02182662301</v>
      </c>
      <c r="R9" s="15" t="s">
        <v>16</v>
      </c>
      <c r="S9" s="16">
        <f>+O13</f>
        <v>226483.15614000009</v>
      </c>
      <c r="T9" s="17">
        <v>68321.665669999667</v>
      </c>
      <c r="U9" s="18">
        <f>+(S9-T9)/T9</f>
        <v>2.314953666878321</v>
      </c>
    </row>
    <row r="10" spans="1:21" ht="28.2" x14ac:dyDescent="0.5">
      <c r="A10" s="19"/>
      <c r="B10" s="19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1"/>
      <c r="R10" s="15" t="s">
        <v>50</v>
      </c>
      <c r="S10" s="16">
        <f>+O15</f>
        <v>104505.07048114296</v>
      </c>
      <c r="T10" s="17">
        <v>42453.779571265797</v>
      </c>
      <c r="U10" s="18">
        <f>+(S10-T10)/T10</f>
        <v>1.4616199437723478</v>
      </c>
    </row>
    <row r="11" spans="1:21" ht="28.2" x14ac:dyDescent="0.3">
      <c r="A11" s="19" t="s">
        <v>54</v>
      </c>
      <c r="B11" s="19"/>
      <c r="C11" s="20">
        <v>392246</v>
      </c>
      <c r="D11" s="20">
        <v>130585</v>
      </c>
      <c r="E11" s="20">
        <v>305138</v>
      </c>
      <c r="F11" s="20">
        <v>212961</v>
      </c>
      <c r="G11" s="20">
        <v>-35885</v>
      </c>
      <c r="H11" s="20">
        <v>45774</v>
      </c>
      <c r="I11" s="20">
        <v>191589</v>
      </c>
      <c r="J11" s="20">
        <v>136970</v>
      </c>
      <c r="K11" s="20">
        <v>-324002</v>
      </c>
      <c r="L11" s="20">
        <v>60830.401999999995</v>
      </c>
      <c r="M11" s="20">
        <v>208685.046</v>
      </c>
      <c r="N11" s="20">
        <v>986509.52581194683</v>
      </c>
      <c r="O11" s="20">
        <v>461103.24289000011</v>
      </c>
      <c r="P11" s="20">
        <v>459522.41910552722</v>
      </c>
      <c r="Q11" s="21">
        <v>378782.09589595144</v>
      </c>
    </row>
    <row r="12" spans="1:21" ht="28.2" x14ac:dyDescent="0.3">
      <c r="A12" s="19" t="s">
        <v>56</v>
      </c>
      <c r="B12" s="19"/>
      <c r="C12" s="20">
        <v>-53878</v>
      </c>
      <c r="D12" s="20">
        <v>-46195</v>
      </c>
      <c r="E12" s="20">
        <v>-61623</v>
      </c>
      <c r="F12" s="20">
        <v>-50399</v>
      </c>
      <c r="G12" s="20">
        <v>-39859</v>
      </c>
      <c r="H12" s="20">
        <v>-88656</v>
      </c>
      <c r="I12" s="20">
        <v>-86915</v>
      </c>
      <c r="J12" s="20">
        <v>-129622</v>
      </c>
      <c r="K12" s="20">
        <v>-146373.04199999999</v>
      </c>
      <c r="L12" s="20">
        <v>-136960.40299999999</v>
      </c>
      <c r="M12" s="20">
        <v>-140363.43</v>
      </c>
      <c r="N12" s="20">
        <v>-329417.80787000002</v>
      </c>
      <c r="O12" s="20">
        <v>-234620</v>
      </c>
      <c r="P12" s="20">
        <v>-154099.39613000001</v>
      </c>
      <c r="Q12" s="21">
        <v>-162472.04063999996</v>
      </c>
    </row>
    <row r="13" spans="1:21" ht="28.2" x14ac:dyDescent="0.3">
      <c r="A13" s="19" t="s">
        <v>16</v>
      </c>
      <c r="B13" s="19"/>
      <c r="C13" s="20">
        <v>338368</v>
      </c>
      <c r="D13" s="20">
        <v>84390</v>
      </c>
      <c r="E13" s="20">
        <v>243515</v>
      </c>
      <c r="F13" s="20">
        <v>162562</v>
      </c>
      <c r="G13" s="20">
        <v>-75744</v>
      </c>
      <c r="H13" s="20">
        <v>-42882</v>
      </c>
      <c r="I13" s="20">
        <v>104674</v>
      </c>
      <c r="J13" s="20">
        <v>7348</v>
      </c>
      <c r="K13" s="20">
        <v>-470374.59399999998</v>
      </c>
      <c r="L13" s="20">
        <v>-76130.000999999989</v>
      </c>
      <c r="M13" s="20">
        <v>68321.615999999995</v>
      </c>
      <c r="N13" s="20">
        <v>657091.71794194682</v>
      </c>
      <c r="O13" s="20">
        <v>226483.15614000009</v>
      </c>
      <c r="P13" s="20">
        <v>305422.98076000036</v>
      </c>
      <c r="Q13" s="21">
        <v>216310.05525595148</v>
      </c>
    </row>
    <row r="14" spans="1:21" ht="28.2" x14ac:dyDescent="0.3">
      <c r="A14" s="19" t="s">
        <v>57</v>
      </c>
      <c r="B14" s="19"/>
      <c r="C14" s="20">
        <v>-8770</v>
      </c>
      <c r="D14" s="20">
        <v>-459</v>
      </c>
      <c r="E14" s="20">
        <v>-38652</v>
      </c>
      <c r="F14" s="20">
        <v>-25325</v>
      </c>
      <c r="G14" s="20">
        <v>2625</v>
      </c>
      <c r="H14" s="20">
        <v>1160</v>
      </c>
      <c r="I14" s="20">
        <v>-20330</v>
      </c>
      <c r="J14" s="20">
        <v>-2546</v>
      </c>
      <c r="K14" s="20">
        <v>-24493.568000000028</v>
      </c>
      <c r="L14" s="20">
        <v>-1742.0466144821821</v>
      </c>
      <c r="M14" s="20">
        <v>-25867.886500000001</v>
      </c>
      <c r="N14" s="20">
        <v>-487030.04937343264</v>
      </c>
      <c r="O14" s="20">
        <v>-121978.08565885713</v>
      </c>
      <c r="P14" s="20">
        <v>-124793.19515</v>
      </c>
      <c r="Q14" s="21">
        <v>-78907.467658117806</v>
      </c>
    </row>
    <row r="15" spans="1:21" ht="28.2" x14ac:dyDescent="0.3">
      <c r="A15" s="19" t="s">
        <v>17</v>
      </c>
      <c r="B15" s="19"/>
      <c r="C15" s="20">
        <v>329598</v>
      </c>
      <c r="D15" s="20">
        <v>83931</v>
      </c>
      <c r="E15" s="20">
        <v>204863</v>
      </c>
      <c r="F15" s="20">
        <v>137237</v>
      </c>
      <c r="G15" s="20">
        <v>-73119</v>
      </c>
      <c r="H15" s="20">
        <v>-41722</v>
      </c>
      <c r="I15" s="20">
        <v>84344</v>
      </c>
      <c r="J15" s="20">
        <v>4802</v>
      </c>
      <c r="K15" s="20">
        <v>-494868.16200000001</v>
      </c>
      <c r="L15" s="20">
        <v>-77872.047614482173</v>
      </c>
      <c r="M15" s="20">
        <v>42453.729500000001</v>
      </c>
      <c r="N15" s="20">
        <v>170061.66856851417</v>
      </c>
      <c r="O15" s="20">
        <v>104505.07048114296</v>
      </c>
      <c r="P15" s="20">
        <v>180629.78561000034</v>
      </c>
      <c r="Q15" s="21">
        <v>137402.58759783366</v>
      </c>
    </row>
    <row r="16" spans="1:21" ht="28.2" x14ac:dyDescent="0.3">
      <c r="A16" s="19" t="s">
        <v>58</v>
      </c>
      <c r="B16" s="19"/>
      <c r="C16" s="20">
        <v>0</v>
      </c>
      <c r="D16" s="20">
        <v>3389</v>
      </c>
      <c r="E16" s="20">
        <v>19403</v>
      </c>
      <c r="F16" s="20">
        <v>-66451</v>
      </c>
      <c r="G16" s="20">
        <v>43847</v>
      </c>
      <c r="H16" s="20">
        <v>27095</v>
      </c>
      <c r="I16" s="20">
        <v>-35196</v>
      </c>
      <c r="J16" s="20">
        <v>-75184</v>
      </c>
      <c r="K16" s="20">
        <v>-18154.837999999902</v>
      </c>
      <c r="L16" s="20">
        <v>10833.037</v>
      </c>
      <c r="M16" s="20">
        <v>5860</v>
      </c>
      <c r="N16" s="20">
        <v>-36231.5</v>
      </c>
      <c r="O16" s="20">
        <v>-87812.441347121639</v>
      </c>
      <c r="P16" s="20">
        <v>-81762.318461724994</v>
      </c>
      <c r="Q16" s="21">
        <v>-252.05668898606299</v>
      </c>
    </row>
    <row r="17" spans="1:17" ht="28.2" x14ac:dyDescent="0.3">
      <c r="A17" s="19" t="s">
        <v>59</v>
      </c>
      <c r="B17" s="19"/>
      <c r="C17" s="20">
        <v>329598</v>
      </c>
      <c r="D17" s="20">
        <v>87320</v>
      </c>
      <c r="E17" s="20">
        <v>224266</v>
      </c>
      <c r="F17" s="20">
        <v>70786</v>
      </c>
      <c r="G17" s="20">
        <v>-29272</v>
      </c>
      <c r="H17" s="20">
        <v>-14627</v>
      </c>
      <c r="I17" s="20">
        <v>49148</v>
      </c>
      <c r="J17" s="20">
        <v>-70382</v>
      </c>
      <c r="K17" s="20">
        <v>-513023</v>
      </c>
      <c r="L17" s="20">
        <v>-67039.010614482177</v>
      </c>
      <c r="M17" s="20">
        <v>48314</v>
      </c>
      <c r="N17" s="20">
        <v>133830.46856851416</v>
      </c>
      <c r="O17" s="20">
        <v>16692.629134021321</v>
      </c>
      <c r="P17" s="20">
        <v>98867.50934705096</v>
      </c>
      <c r="Q17" s="21">
        <v>137654.64428682</v>
      </c>
    </row>
    <row r="18" spans="1:17" ht="28.2" x14ac:dyDescent="0.3">
      <c r="Q18" s="2"/>
    </row>
    <row r="19" spans="1:17" ht="28.2" x14ac:dyDescent="0.3">
      <c r="A19" s="1" t="s">
        <v>18</v>
      </c>
    </row>
    <row r="20" spans="1:17" ht="28.2" hidden="1" x14ac:dyDescent="0.3">
      <c r="A20" s="2" t="s">
        <v>19</v>
      </c>
      <c r="C20" s="3">
        <v>2030023</v>
      </c>
      <c r="D20" s="3">
        <v>1951043</v>
      </c>
      <c r="E20" s="3">
        <v>2153381</v>
      </c>
      <c r="F20" s="3">
        <v>2408538</v>
      </c>
      <c r="G20" s="3">
        <v>2600692</v>
      </c>
      <c r="H20" s="3">
        <v>2661463</v>
      </c>
      <c r="I20" s="3">
        <v>2748445</v>
      </c>
      <c r="J20" s="3">
        <v>2738551</v>
      </c>
      <c r="K20" s="3">
        <v>349997.85063342785</v>
      </c>
      <c r="L20" s="3">
        <v>362034.5816149821</v>
      </c>
      <c r="M20" s="3">
        <v>442750</v>
      </c>
      <c r="N20" s="3">
        <v>442750</v>
      </c>
    </row>
    <row r="21" spans="1:17" ht="28.2" hidden="1" x14ac:dyDescent="0.3">
      <c r="A21" s="2" t="s">
        <v>25</v>
      </c>
      <c r="C21" s="3">
        <v>76901</v>
      </c>
      <c r="D21" s="3">
        <v>231132</v>
      </c>
      <c r="E21" s="3">
        <v>246676</v>
      </c>
      <c r="F21" s="3">
        <v>283928</v>
      </c>
      <c r="G21" s="3">
        <v>453884</v>
      </c>
      <c r="H21" s="3">
        <v>490535</v>
      </c>
      <c r="I21" s="3">
        <v>536575</v>
      </c>
      <c r="J21" s="3">
        <v>585919</v>
      </c>
      <c r="K21" s="3">
        <v>632177</v>
      </c>
      <c r="L21" s="3">
        <v>630577.75249699992</v>
      </c>
      <c r="M21" s="3">
        <v>595643.41240000003</v>
      </c>
      <c r="N21" s="3">
        <f>595643412.4/1000</f>
        <v>595643.41240000003</v>
      </c>
    </row>
    <row r="22" spans="1:17" ht="28.2" x14ac:dyDescent="0.3">
      <c r="A22" s="19" t="s">
        <v>60</v>
      </c>
      <c r="B22" s="19"/>
      <c r="C22" s="20"/>
      <c r="D22" s="20"/>
      <c r="E22" s="20">
        <v>2400057</v>
      </c>
      <c r="F22" s="20">
        <v>2692466</v>
      </c>
      <c r="G22" s="20">
        <v>3054576</v>
      </c>
      <c r="H22" s="20">
        <v>3151998</v>
      </c>
      <c r="I22" s="20">
        <v>3285020</v>
      </c>
      <c r="J22" s="20">
        <v>3324470</v>
      </c>
      <c r="K22" s="20">
        <v>3384566</v>
      </c>
      <c r="L22" s="20">
        <v>3362949</v>
      </c>
      <c r="M22" s="20">
        <v>3406041</v>
      </c>
      <c r="N22" s="20">
        <v>3624614.7999977898</v>
      </c>
      <c r="O22" s="20">
        <v>3939405.2933958508</v>
      </c>
      <c r="P22" s="20">
        <v>4218308.5117496746</v>
      </c>
      <c r="Q22" s="21">
        <v>4470561.3281181948</v>
      </c>
    </row>
    <row r="23" spans="1:17" ht="28.2" x14ac:dyDescent="0.3">
      <c r="A23" s="22" t="s">
        <v>26</v>
      </c>
      <c r="B23" s="22"/>
      <c r="C23" s="23">
        <v>502488</v>
      </c>
      <c r="D23" s="23">
        <v>356869</v>
      </c>
      <c r="E23" s="23">
        <v>385338</v>
      </c>
      <c r="F23" s="23">
        <v>389842</v>
      </c>
      <c r="G23" s="23">
        <v>322531</v>
      </c>
      <c r="H23" s="23">
        <v>400281</v>
      </c>
      <c r="I23" s="23">
        <v>408986</v>
      </c>
      <c r="J23" s="23">
        <v>471655</v>
      </c>
      <c r="K23" s="23">
        <v>336827.72899999999</v>
      </c>
      <c r="L23" s="23">
        <v>426586.52808999998</v>
      </c>
      <c r="M23" s="23">
        <v>558163.9432000001</v>
      </c>
      <c r="N23" s="23">
        <v>730555.53090999986</v>
      </c>
      <c r="O23" s="23">
        <v>760984.04952500004</v>
      </c>
      <c r="P23" s="23">
        <v>884150.48750500195</v>
      </c>
      <c r="Q23" s="24">
        <v>1001010.1272100008</v>
      </c>
    </row>
    <row r="24" spans="1:17" s="27" customFormat="1" ht="28.2" x14ac:dyDescent="0.3">
      <c r="A24" s="25" t="s">
        <v>27</v>
      </c>
      <c r="B24" s="25"/>
      <c r="C24" s="26">
        <v>2609412</v>
      </c>
      <c r="D24" s="26">
        <v>2539044</v>
      </c>
      <c r="E24" s="26">
        <v>2785395</v>
      </c>
      <c r="F24" s="26">
        <v>3082308</v>
      </c>
      <c r="G24" s="26">
        <v>3377107</v>
      </c>
      <c r="H24" s="26">
        <v>3552279</v>
      </c>
      <c r="I24" s="26">
        <v>3694006</v>
      </c>
      <c r="J24" s="26">
        <v>3796125</v>
      </c>
      <c r="K24" s="26">
        <v>3721393.5009999997</v>
      </c>
      <c r="L24" s="26">
        <v>3789535.5069915662</v>
      </c>
      <c r="M24" s="26">
        <v>3964204.7741265199</v>
      </c>
      <c r="N24" s="26">
        <v>4355171</v>
      </c>
      <c r="O24" s="26">
        <v>4700389.342920851</v>
      </c>
      <c r="P24" s="26">
        <f>SUM(P22:P23)</f>
        <v>5102458.9992546765</v>
      </c>
      <c r="Q24" s="25">
        <f>SUM(Q22:Q23)</f>
        <v>5471571.4553281954</v>
      </c>
    </row>
    <row r="25" spans="1:17" ht="28.2" x14ac:dyDescent="0.3">
      <c r="Q25" s="2"/>
    </row>
    <row r="26" spans="1:17" ht="28.2" x14ac:dyDescent="0.3">
      <c r="A26" s="19" t="s">
        <v>64</v>
      </c>
      <c r="B26" s="19"/>
      <c r="C26" s="20">
        <v>-255186</v>
      </c>
      <c r="D26" s="20">
        <v>-247516</v>
      </c>
      <c r="E26" s="20">
        <v>-312377</v>
      </c>
      <c r="F26" s="20">
        <v>-290354</v>
      </c>
      <c r="G26" s="20">
        <v>-230918</v>
      </c>
      <c r="H26" s="20">
        <v>-272611</v>
      </c>
      <c r="I26" s="20">
        <v>-332632</v>
      </c>
      <c r="J26" s="20">
        <v>-286181</v>
      </c>
      <c r="K26" s="20">
        <f>-266067</f>
        <v>-266067</v>
      </c>
      <c r="L26" s="20">
        <v>-289924.23460834101</v>
      </c>
      <c r="M26" s="20">
        <v>-357756.82764334994</v>
      </c>
      <c r="N26" s="20">
        <v>-405074</v>
      </c>
      <c r="O26" s="20">
        <v>-365680.77246668201</v>
      </c>
      <c r="P26" s="20">
        <v>-499433.41886999999</v>
      </c>
      <c r="Q26" s="21">
        <v>-508870.95628164703</v>
      </c>
    </row>
    <row r="27" spans="1:17" ht="28.2" x14ac:dyDescent="0.3">
      <c r="A27" s="22" t="s">
        <v>61</v>
      </c>
      <c r="B27" s="22"/>
      <c r="C27" s="23">
        <v>-673703</v>
      </c>
      <c r="D27" s="23">
        <v>-671561</v>
      </c>
      <c r="E27" s="23">
        <v>-681612</v>
      </c>
      <c r="F27" s="23">
        <v>-774366</v>
      </c>
      <c r="G27" s="23">
        <v>-781233</v>
      </c>
      <c r="H27" s="23">
        <v>-744576</v>
      </c>
      <c r="I27" s="23">
        <v>-783239</v>
      </c>
      <c r="J27" s="23">
        <v>-831931</v>
      </c>
      <c r="K27" s="23">
        <v>-949170</v>
      </c>
      <c r="L27" s="23">
        <v>-964941</v>
      </c>
      <c r="M27" s="23">
        <v>-907735.93225748301</v>
      </c>
      <c r="N27" s="23">
        <v>-1332326</v>
      </c>
      <c r="O27" s="23">
        <v>-1584828.6555024274</v>
      </c>
      <c r="P27" s="23">
        <v>-1846780</v>
      </c>
      <c r="Q27" s="24">
        <v>-2000452.6850254701</v>
      </c>
    </row>
    <row r="28" spans="1:17" ht="28.2" x14ac:dyDescent="0.3">
      <c r="A28" s="28" t="s">
        <v>62</v>
      </c>
      <c r="B28" s="29"/>
      <c r="C28" s="30">
        <f t="shared" ref="C28:F28" si="1">SUM(C24:C27)</f>
        <v>1680523</v>
      </c>
      <c r="D28" s="30">
        <f t="shared" si="1"/>
        <v>1619967</v>
      </c>
      <c r="E28" s="30">
        <f t="shared" si="1"/>
        <v>1791406</v>
      </c>
      <c r="F28" s="30">
        <f t="shared" si="1"/>
        <v>2017588</v>
      </c>
      <c r="G28" s="30">
        <f t="shared" ref="G28:K28" si="2">SUM(G24:G27)</f>
        <v>2364956</v>
      </c>
      <c r="H28" s="30">
        <f t="shared" si="2"/>
        <v>2535092</v>
      </c>
      <c r="I28" s="30">
        <f t="shared" si="2"/>
        <v>2578135</v>
      </c>
      <c r="J28" s="30">
        <f t="shared" si="2"/>
        <v>2678013</v>
      </c>
      <c r="K28" s="30">
        <f t="shared" si="2"/>
        <v>2506156.5009999997</v>
      </c>
      <c r="L28" s="30">
        <v>2534671</v>
      </c>
      <c r="M28" s="30">
        <v>2698712.0142256902</v>
      </c>
      <c r="N28" s="30">
        <f>SUM(N24:N27)</f>
        <v>2617771</v>
      </c>
      <c r="O28" s="30">
        <f>SUM(O24:O27)</f>
        <v>2749879.9149517417</v>
      </c>
      <c r="P28" s="30">
        <f>SUM(P24:P27)</f>
        <v>2756245.5803846763</v>
      </c>
      <c r="Q28" s="28">
        <f>SUM(Q24:Q27)</f>
        <v>2962247.8140210779</v>
      </c>
    </row>
    <row r="29" spans="1:17" ht="28.2" x14ac:dyDescent="0.3">
      <c r="C29" s="27"/>
      <c r="D29" s="27"/>
      <c r="E29" s="27"/>
      <c r="F29" s="27"/>
      <c r="G29" s="27"/>
      <c r="H29" s="27"/>
      <c r="I29" s="27"/>
      <c r="J29" s="27"/>
      <c r="K29" s="27"/>
      <c r="L29" s="27"/>
    </row>
    <row r="30" spans="1:17" ht="28.2" x14ac:dyDescent="0.3">
      <c r="A30" s="1" t="s">
        <v>20</v>
      </c>
    </row>
    <row r="31" spans="1:17" ht="28.2" x14ac:dyDescent="0.3">
      <c r="A31" s="19" t="s">
        <v>21</v>
      </c>
      <c r="B31" s="19"/>
      <c r="C31" s="20">
        <v>250000</v>
      </c>
      <c r="D31" s="20">
        <v>250000</v>
      </c>
      <c r="E31" s="20">
        <v>250000</v>
      </c>
      <c r="F31" s="20">
        <v>250000</v>
      </c>
      <c r="G31" s="20">
        <v>250000</v>
      </c>
      <c r="H31" s="20">
        <v>250000</v>
      </c>
      <c r="I31" s="20">
        <v>250000</v>
      </c>
      <c r="J31" s="20">
        <v>250000</v>
      </c>
      <c r="K31" s="20">
        <v>250000</v>
      </c>
      <c r="L31" s="20">
        <v>250000</v>
      </c>
      <c r="M31" s="20">
        <v>250000</v>
      </c>
      <c r="N31" s="20">
        <f>+L31</f>
        <v>250000</v>
      </c>
      <c r="O31" s="20">
        <v>250000.01</v>
      </c>
      <c r="P31" s="20">
        <v>250000.01</v>
      </c>
      <c r="Q31" s="21">
        <v>250000.01</v>
      </c>
    </row>
    <row r="32" spans="1:17" ht="28.2" x14ac:dyDescent="0.3">
      <c r="A32" s="19" t="s">
        <v>22</v>
      </c>
      <c r="B32" s="19"/>
      <c r="C32" s="20">
        <v>70000</v>
      </c>
      <c r="D32" s="20">
        <v>70000</v>
      </c>
      <c r="E32" s="20">
        <v>70000</v>
      </c>
      <c r="F32" s="20">
        <v>70000</v>
      </c>
      <c r="G32" s="20">
        <v>70000</v>
      </c>
      <c r="H32" s="20">
        <v>70000</v>
      </c>
      <c r="I32" s="20">
        <v>70000</v>
      </c>
      <c r="J32" s="20">
        <v>70000</v>
      </c>
      <c r="K32" s="20">
        <v>70000</v>
      </c>
      <c r="L32" s="20">
        <v>0</v>
      </c>
      <c r="M32" s="20">
        <v>0</v>
      </c>
      <c r="N32" s="20">
        <v>0</v>
      </c>
      <c r="O32" s="20">
        <v>0</v>
      </c>
      <c r="P32" s="20"/>
      <c r="Q32" s="21"/>
    </row>
    <row r="33" spans="1:18" ht="28.2" x14ac:dyDescent="0.3">
      <c r="A33" s="22" t="s">
        <v>23</v>
      </c>
      <c r="B33" s="22"/>
      <c r="C33" s="23">
        <v>967505</v>
      </c>
      <c r="D33" s="23">
        <v>836502</v>
      </c>
      <c r="E33" s="23">
        <v>1035768</v>
      </c>
      <c r="F33" s="23">
        <v>1056554</v>
      </c>
      <c r="G33" s="23">
        <v>1066277</v>
      </c>
      <c r="H33" s="23">
        <v>1051652</v>
      </c>
      <c r="I33" s="23">
        <v>1100799</v>
      </c>
      <c r="J33" s="23">
        <v>1017916</v>
      </c>
      <c r="K33" s="23">
        <v>491578</v>
      </c>
      <c r="L33" s="23">
        <v>497809.98938551784</v>
      </c>
      <c r="M33" s="23">
        <v>546124</v>
      </c>
      <c r="N33" s="23">
        <v>679954.34813977988</v>
      </c>
      <c r="O33" s="23">
        <v>630396.47542402137</v>
      </c>
      <c r="P33" s="23">
        <v>668013.94304827531</v>
      </c>
      <c r="Q33" s="24">
        <v>753168.55063387065</v>
      </c>
    </row>
    <row r="34" spans="1:18" ht="28.2" x14ac:dyDescent="0.3">
      <c r="A34" s="31" t="s">
        <v>65</v>
      </c>
      <c r="B34" s="31"/>
      <c r="C34" s="32">
        <f>SUM(C31:C33)</f>
        <v>1287505</v>
      </c>
      <c r="D34" s="32">
        <f t="shared" ref="D34:F34" si="3">SUM(D31:D33)</f>
        <v>1156502</v>
      </c>
      <c r="E34" s="32">
        <f t="shared" si="3"/>
        <v>1355768</v>
      </c>
      <c r="F34" s="32">
        <f t="shared" si="3"/>
        <v>1376554</v>
      </c>
      <c r="G34" s="32">
        <f t="shared" ref="G34:K34" si="4">SUM(G31:G33)</f>
        <v>1386277</v>
      </c>
      <c r="H34" s="32">
        <f t="shared" si="4"/>
        <v>1371652</v>
      </c>
      <c r="I34" s="32">
        <f t="shared" si="4"/>
        <v>1420799</v>
      </c>
      <c r="J34" s="32">
        <f t="shared" si="4"/>
        <v>1337916</v>
      </c>
      <c r="K34" s="32">
        <f t="shared" si="4"/>
        <v>811578</v>
      </c>
      <c r="L34" s="32">
        <f>SUM(L31:L33)</f>
        <v>747809.98938551778</v>
      </c>
      <c r="M34" s="32">
        <v>796124</v>
      </c>
      <c r="N34" s="32">
        <f>SUM(N31:N33)</f>
        <v>929954.34813977988</v>
      </c>
      <c r="O34" s="32">
        <v>880396.48542402138</v>
      </c>
      <c r="P34" s="32">
        <v>918013.95304827532</v>
      </c>
      <c r="Q34" s="25">
        <f>SUM(Q31:Q33)</f>
        <v>1003168.5606338707</v>
      </c>
    </row>
    <row r="35" spans="1:18" ht="28.2" x14ac:dyDescent="0.3"/>
    <row r="36" spans="1:18" ht="28.2" x14ac:dyDescent="0.3">
      <c r="A36" s="22" t="s">
        <v>24</v>
      </c>
      <c r="B36" s="22"/>
      <c r="C36" s="23">
        <v>393018</v>
      </c>
      <c r="D36" s="23">
        <v>463465</v>
      </c>
      <c r="E36" s="23">
        <v>435638</v>
      </c>
      <c r="F36" s="23">
        <v>641034</v>
      </c>
      <c r="G36" s="23">
        <v>978679</v>
      </c>
      <c r="H36" s="23">
        <v>1163440</v>
      </c>
      <c r="I36" s="23">
        <v>1157336</v>
      </c>
      <c r="J36" s="23">
        <v>1340097</v>
      </c>
      <c r="K36" s="23">
        <v>1694578.75</v>
      </c>
      <c r="L36" s="23">
        <v>1786861.3030100001</v>
      </c>
      <c r="M36" s="23">
        <v>1902588</v>
      </c>
      <c r="N36" s="23">
        <v>1687817.3326099999</v>
      </c>
      <c r="O36" s="23">
        <v>1869483.2585300002</v>
      </c>
      <c r="P36" s="23">
        <v>1838232</v>
      </c>
      <c r="Q36" s="24">
        <v>1959078.3630499998</v>
      </c>
    </row>
    <row r="37" spans="1:18" s="27" customFormat="1" ht="28.2" x14ac:dyDescent="0.3">
      <c r="A37" s="28"/>
      <c r="B37" s="28"/>
      <c r="C37" s="30">
        <f>SUM(C34:C36)</f>
        <v>1680523</v>
      </c>
      <c r="D37" s="30">
        <f t="shared" ref="D37:F37" si="5">SUM(D34:D36)</f>
        <v>1619967</v>
      </c>
      <c r="E37" s="30">
        <f t="shared" si="5"/>
        <v>1791406</v>
      </c>
      <c r="F37" s="30">
        <f t="shared" si="5"/>
        <v>2017588</v>
      </c>
      <c r="G37" s="30">
        <f t="shared" ref="G37:I37" si="6">SUM(G34:G36)</f>
        <v>2364956</v>
      </c>
      <c r="H37" s="30">
        <f t="shared" si="6"/>
        <v>2535092</v>
      </c>
      <c r="I37" s="30">
        <f t="shared" si="6"/>
        <v>2578135</v>
      </c>
      <c r="J37" s="30">
        <v>2678013</v>
      </c>
      <c r="K37" s="30">
        <f t="shared" ref="K37:L37" si="7">SUM(K34:K36)</f>
        <v>2506156.75</v>
      </c>
      <c r="L37" s="30">
        <f t="shared" si="7"/>
        <v>2534671.2923955182</v>
      </c>
      <c r="M37" s="30">
        <v>2698712</v>
      </c>
      <c r="N37" s="30">
        <v>2617771</v>
      </c>
      <c r="O37" s="30">
        <f>SUM(O34:O36)</f>
        <v>2749879.7439540215</v>
      </c>
      <c r="P37" s="30">
        <f>SUM(P34:P36)</f>
        <v>2756245.9530482753</v>
      </c>
      <c r="Q37" s="28">
        <f>SUM(Q34:Q36)</f>
        <v>2962246.9236838706</v>
      </c>
    </row>
    <row r="38" spans="1:18" ht="28.2" x14ac:dyDescent="0.3">
      <c r="Q38" s="2"/>
    </row>
    <row r="39" spans="1:18" ht="28.2" x14ac:dyDescent="0.3">
      <c r="A39" s="1" t="s">
        <v>63</v>
      </c>
    </row>
    <row r="40" spans="1:18" ht="28.2" x14ac:dyDescent="0.3">
      <c r="A40" s="19" t="s">
        <v>67</v>
      </c>
      <c r="B40" s="19"/>
      <c r="C40" s="20">
        <v>386992</v>
      </c>
      <c r="D40" s="20">
        <v>240707</v>
      </c>
      <c r="E40" s="20">
        <v>358517</v>
      </c>
      <c r="F40" s="20">
        <v>235388</v>
      </c>
      <c r="G40" s="20">
        <v>111493</v>
      </c>
      <c r="H40" s="20">
        <v>48366</v>
      </c>
      <c r="I40" s="20">
        <v>284016</v>
      </c>
      <c r="J40" s="20">
        <v>14218</v>
      </c>
      <c r="K40" s="20">
        <v>-152283</v>
      </c>
      <c r="L40" s="20">
        <v>113362.51668000013</v>
      </c>
      <c r="M40" s="20">
        <v>245805.41845318192</v>
      </c>
      <c r="N40" s="20">
        <v>681563</v>
      </c>
      <c r="O40" s="20">
        <v>362914</v>
      </c>
      <c r="P40" s="20">
        <v>570499</v>
      </c>
      <c r="Q40" s="21">
        <v>358225.24489832588</v>
      </c>
    </row>
    <row r="41" spans="1:18" ht="28.2" x14ac:dyDescent="0.3">
      <c r="A41" s="19" t="s">
        <v>66</v>
      </c>
      <c r="B41" s="19"/>
      <c r="C41" s="20">
        <v>-253000</v>
      </c>
      <c r="D41" s="20">
        <v>-267280</v>
      </c>
      <c r="E41" s="20">
        <v>-276282</v>
      </c>
      <c r="F41" s="20">
        <v>-361631</v>
      </c>
      <c r="G41" s="20">
        <v>-187868</v>
      </c>
      <c r="H41" s="20">
        <v>-202572</v>
      </c>
      <c r="I41" s="20">
        <v>-252141</v>
      </c>
      <c r="J41" s="20">
        <v>-170736</v>
      </c>
      <c r="K41" s="20">
        <v>-160954.57800000001</v>
      </c>
      <c r="L41" s="20">
        <v>-173706.48699999999</v>
      </c>
      <c r="M41" s="20">
        <v>-300989.41816911497</v>
      </c>
      <c r="N41" s="20">
        <v>-430107</v>
      </c>
      <c r="O41" s="20">
        <v>-430235</v>
      </c>
      <c r="P41" s="20">
        <v>-431726</v>
      </c>
      <c r="Q41" s="21">
        <v>-380859.13983042038</v>
      </c>
    </row>
    <row r="42" spans="1:18" ht="28.2" x14ac:dyDescent="0.3">
      <c r="A42" s="19" t="s">
        <v>68</v>
      </c>
      <c r="B42" s="19"/>
      <c r="C42" s="20">
        <v>36652</v>
      </c>
      <c r="D42" s="20">
        <v>-186027</v>
      </c>
      <c r="E42" s="20">
        <v>6228</v>
      </c>
      <c r="F42" s="20">
        <v>8798</v>
      </c>
      <c r="G42" s="20">
        <v>7992</v>
      </c>
      <c r="H42" s="20">
        <v>109132</v>
      </c>
      <c r="I42" s="20">
        <v>-38353</v>
      </c>
      <c r="J42" s="20">
        <v>64598</v>
      </c>
      <c r="K42" s="20">
        <v>99219</v>
      </c>
      <c r="L42" s="20">
        <v>375350.36138999998</v>
      </c>
      <c r="M42" s="20">
        <v>-159097.20500000002</v>
      </c>
      <c r="N42" s="20">
        <v>-227185.53312000004</v>
      </c>
      <c r="O42" s="20">
        <v>250523</v>
      </c>
      <c r="P42" s="19">
        <v>-406484.99978499999</v>
      </c>
      <c r="Q42" s="27">
        <v>-61497.486204034249</v>
      </c>
    </row>
    <row r="43" spans="1:18" ht="28.2" x14ac:dyDescent="0.3">
      <c r="A43" s="19" t="s">
        <v>29</v>
      </c>
      <c r="B43" s="19"/>
      <c r="C43" s="20">
        <f>SUM(C40:C42)</f>
        <v>170644</v>
      </c>
      <c r="D43" s="20">
        <f t="shared" ref="D43:F43" si="8">SUM(D40:D42)</f>
        <v>-212600</v>
      </c>
      <c r="E43" s="20">
        <f t="shared" si="8"/>
        <v>88463</v>
      </c>
      <c r="F43" s="20">
        <f t="shared" si="8"/>
        <v>-117445</v>
      </c>
      <c r="G43" s="20">
        <f t="shared" ref="G43:K43" si="9">SUM(G40:G42)</f>
        <v>-68383</v>
      </c>
      <c r="H43" s="20">
        <f t="shared" si="9"/>
        <v>-45074</v>
      </c>
      <c r="I43" s="20">
        <f t="shared" si="9"/>
        <v>-6478</v>
      </c>
      <c r="J43" s="20">
        <f t="shared" si="9"/>
        <v>-91920</v>
      </c>
      <c r="K43" s="20">
        <f t="shared" si="9"/>
        <v>-214018.57799999998</v>
      </c>
      <c r="L43" s="20">
        <v>315006.79107000015</v>
      </c>
      <c r="M43" s="20">
        <v>-214281.20471593307</v>
      </c>
      <c r="N43" s="20">
        <v>24269.705821946613</v>
      </c>
      <c r="O43" s="20">
        <v>183202</v>
      </c>
      <c r="P43" s="20">
        <v>-267711.13319498085</v>
      </c>
      <c r="Q43" s="21">
        <v>-84131.381136128737</v>
      </c>
      <c r="R43" s="33"/>
    </row>
    <row r="44" spans="1:18" ht="28.2" x14ac:dyDescent="0.3">
      <c r="A44" s="19" t="s">
        <v>30</v>
      </c>
      <c r="B44" s="19"/>
      <c r="C44" s="20">
        <v>-79415</v>
      </c>
      <c r="D44" s="20">
        <v>91229</v>
      </c>
      <c r="E44" s="20">
        <v>-121371</v>
      </c>
      <c r="F44" s="20">
        <v>-32908</v>
      </c>
      <c r="G44" s="20">
        <v>-158746</v>
      </c>
      <c r="H44" s="20">
        <v>-227129</v>
      </c>
      <c r="I44" s="20">
        <v>-272203</v>
      </c>
      <c r="J44" s="20">
        <v>-278681</v>
      </c>
      <c r="K44" s="20">
        <v>-370600</v>
      </c>
      <c r="L44" s="20">
        <v>-584619</v>
      </c>
      <c r="M44" s="20">
        <v>-269612.70892999985</v>
      </c>
      <c r="N44" s="20">
        <f>+-(N43-N45)</f>
        <v>-483893.70892999985</v>
      </c>
      <c r="O44" s="20">
        <v>-459624</v>
      </c>
      <c r="P44" s="20">
        <v>-276422.36</v>
      </c>
      <c r="Q44" s="21">
        <v>-544132.9</v>
      </c>
    </row>
    <row r="45" spans="1:18" ht="28.2" x14ac:dyDescent="0.3">
      <c r="A45" s="19" t="s">
        <v>31</v>
      </c>
      <c r="B45" s="19"/>
      <c r="C45" s="20">
        <v>91229</v>
      </c>
      <c r="D45" s="20">
        <f>+E44</f>
        <v>-121371</v>
      </c>
      <c r="E45" s="20">
        <f t="shared" ref="E45:F45" si="10">+F44</f>
        <v>-32908</v>
      </c>
      <c r="F45" s="20">
        <f t="shared" si="10"/>
        <v>-158746</v>
      </c>
      <c r="G45" s="20">
        <f t="shared" ref="G45" si="11">+H44</f>
        <v>-227129</v>
      </c>
      <c r="H45" s="20">
        <f t="shared" ref="H45" si="12">+I44</f>
        <v>-272203</v>
      </c>
      <c r="I45" s="20">
        <f t="shared" ref="I45" si="13">+J44</f>
        <v>-278681</v>
      </c>
      <c r="J45" s="20">
        <f>+K44</f>
        <v>-370600</v>
      </c>
      <c r="K45" s="20">
        <f>SUM(K43:K44)</f>
        <v>-584618.57799999998</v>
      </c>
      <c r="L45" s="20">
        <v>-269612.73192999983</v>
      </c>
      <c r="M45" s="20">
        <v>-483893.91364593292</v>
      </c>
      <c r="N45" s="20">
        <v>-459624.00310805324</v>
      </c>
      <c r="O45" s="20">
        <v>-276422</v>
      </c>
      <c r="P45" s="20">
        <v>-544133.4931949809</v>
      </c>
      <c r="Q45" s="21">
        <v>-628264.28113612882</v>
      </c>
    </row>
    <row r="46" spans="1:18" ht="28.2" x14ac:dyDescent="0.3">
      <c r="Q46" s="2"/>
    </row>
    <row r="47" spans="1:18" ht="28.2" x14ac:dyDescent="0.3">
      <c r="A47" s="1" t="s">
        <v>28</v>
      </c>
      <c r="Q47" s="2"/>
    </row>
    <row r="48" spans="1:18" ht="28.2" x14ac:dyDescent="0.3">
      <c r="A48" s="19" t="s">
        <v>69</v>
      </c>
      <c r="B48" s="19" t="s">
        <v>77</v>
      </c>
      <c r="C48" s="34">
        <v>13.18</v>
      </c>
      <c r="D48" s="34">
        <v>4.42</v>
      </c>
      <c r="E48" s="34">
        <v>8.19</v>
      </c>
      <c r="F48" s="34">
        <v>5.49</v>
      </c>
      <c r="G48" s="34">
        <v>-2.92</v>
      </c>
      <c r="H48" s="34">
        <v>-1.67</v>
      </c>
      <c r="I48" s="34">
        <v>3.37</v>
      </c>
      <c r="J48" s="34">
        <v>0.19</v>
      </c>
      <c r="K48" s="34">
        <v>-19.79</v>
      </c>
      <c r="L48" s="34">
        <v>-3.1148819045792879</v>
      </c>
      <c r="M48" s="34">
        <v>1.7</v>
      </c>
      <c r="N48" s="34">
        <v>6.8024667427405667</v>
      </c>
      <c r="O48" s="34">
        <v>4.18</v>
      </c>
      <c r="P48" s="34">
        <v>7.7229999999999999</v>
      </c>
      <c r="Q48" s="35">
        <v>5.4961035039133463</v>
      </c>
    </row>
    <row r="49" spans="1:23" ht="28.2" x14ac:dyDescent="0.3">
      <c r="A49" s="19" t="s">
        <v>70</v>
      </c>
      <c r="B49" s="19" t="s">
        <v>77</v>
      </c>
      <c r="C49" s="34">
        <v>72.3</v>
      </c>
      <c r="D49" s="34">
        <v>25.1</v>
      </c>
      <c r="E49" s="34">
        <v>26.5</v>
      </c>
      <c r="F49" s="34">
        <v>22.9</v>
      </c>
      <c r="G49" s="34">
        <v>16.899999999999999</v>
      </c>
      <c r="H49" s="34">
        <v>16.5</v>
      </c>
      <c r="I49" s="34">
        <v>22</v>
      </c>
      <c r="J49" s="34">
        <v>17</v>
      </c>
      <c r="K49" s="34">
        <v>17</v>
      </c>
      <c r="L49" s="34">
        <v>23.2</v>
      </c>
      <c r="M49" s="34">
        <v>21.9</v>
      </c>
      <c r="N49" s="34">
        <v>52.5</v>
      </c>
      <c r="O49" s="34">
        <v>39.5</v>
      </c>
      <c r="P49" s="34">
        <v>44.4</v>
      </c>
      <c r="Q49" s="35">
        <v>46.9</v>
      </c>
    </row>
    <row r="50" spans="1:23" ht="28.2" x14ac:dyDescent="0.3">
      <c r="A50" s="19" t="s">
        <v>32</v>
      </c>
      <c r="B50" s="19" t="s">
        <v>77</v>
      </c>
      <c r="C50" s="34">
        <v>4</v>
      </c>
      <c r="D50" s="34">
        <v>1</v>
      </c>
      <c r="E50" s="34">
        <v>2</v>
      </c>
      <c r="F50" s="34">
        <v>1</v>
      </c>
      <c r="G50" s="34">
        <v>0</v>
      </c>
      <c r="H50" s="34">
        <v>0</v>
      </c>
      <c r="I50" s="34">
        <v>0</v>
      </c>
      <c r="J50" s="34">
        <v>0.5</v>
      </c>
      <c r="K50" s="34">
        <v>0</v>
      </c>
      <c r="L50" s="34">
        <v>0</v>
      </c>
      <c r="M50" s="34">
        <v>0</v>
      </c>
      <c r="N50" s="34">
        <v>0</v>
      </c>
      <c r="O50" s="34">
        <v>2.65</v>
      </c>
      <c r="P50" s="34">
        <v>2.4500000000000002</v>
      </c>
      <c r="Q50" s="35">
        <v>2.1000001199999998</v>
      </c>
    </row>
    <row r="51" spans="1:23" ht="28.2" x14ac:dyDescent="0.3">
      <c r="A51" s="19" t="s">
        <v>33</v>
      </c>
      <c r="B51" s="19" t="s">
        <v>77</v>
      </c>
      <c r="C51" s="34">
        <v>51.5</v>
      </c>
      <c r="D51" s="34">
        <v>46.26</v>
      </c>
      <c r="E51" s="34">
        <v>54.23</v>
      </c>
      <c r="F51" s="34">
        <v>55.06</v>
      </c>
      <c r="G51" s="34">
        <v>55.45</v>
      </c>
      <c r="H51" s="34">
        <v>54.87</v>
      </c>
      <c r="I51" s="34">
        <v>56.83</v>
      </c>
      <c r="J51" s="34">
        <v>53.52</v>
      </c>
      <c r="K51" s="34">
        <v>32.46</v>
      </c>
      <c r="L51" s="34">
        <v>29.912399975420723</v>
      </c>
      <c r="M51" s="34">
        <v>31.844943582850632</v>
      </c>
      <c r="N51" s="34">
        <v>37.198174325591197</v>
      </c>
      <c r="O51" s="34">
        <v>35.22</v>
      </c>
      <c r="P51" s="34">
        <v>36.72</v>
      </c>
      <c r="Q51" s="35">
        <v>40.130000000000003</v>
      </c>
      <c r="V51" s="33"/>
    </row>
    <row r="52" spans="1:23" ht="28.2" x14ac:dyDescent="0.3">
      <c r="A52" s="19" t="s">
        <v>34</v>
      </c>
      <c r="B52" s="19" t="s">
        <v>73</v>
      </c>
      <c r="C52" s="34">
        <v>5.48</v>
      </c>
      <c r="D52" s="34">
        <v>5.68</v>
      </c>
      <c r="E52" s="34">
        <v>3.23</v>
      </c>
      <c r="F52" s="34">
        <v>4.17</v>
      </c>
      <c r="G52" s="34">
        <v>-5.78</v>
      </c>
      <c r="H52" s="34">
        <v>-9.89</v>
      </c>
      <c r="I52" s="34">
        <v>6.52</v>
      </c>
      <c r="J52" s="34">
        <v>88.51</v>
      </c>
      <c r="K52" s="34">
        <v>-0.86</v>
      </c>
      <c r="L52" s="34">
        <f>+((L49/L48))</f>
        <v>-7.448115437664887</v>
      </c>
      <c r="M52" s="34">
        <v>12.88</v>
      </c>
      <c r="N52" s="34">
        <v>7.7177885589851316</v>
      </c>
      <c r="O52" s="34">
        <v>9.4499999999999993</v>
      </c>
      <c r="P52" s="34">
        <v>6.14</v>
      </c>
      <c r="Q52" s="35">
        <v>8.5299999999999994</v>
      </c>
      <c r="V52" s="33"/>
      <c r="W52" s="33"/>
    </row>
    <row r="53" spans="1:23" ht="28.2" x14ac:dyDescent="0.3">
      <c r="A53" s="19" t="s">
        <v>35</v>
      </c>
      <c r="B53" s="19" t="s">
        <v>42</v>
      </c>
      <c r="C53" s="34">
        <v>18.239999999999998</v>
      </c>
      <c r="D53" s="34">
        <v>17.61</v>
      </c>
      <c r="E53" s="34">
        <v>30.92</v>
      </c>
      <c r="F53" s="34">
        <v>23.97</v>
      </c>
      <c r="G53" s="34">
        <v>-17.309999999999999</v>
      </c>
      <c r="H53" s="34">
        <v>-10.11</v>
      </c>
      <c r="I53" s="34">
        <v>15.34</v>
      </c>
      <c r="J53" s="34">
        <v>1.1299999999999999</v>
      </c>
      <c r="K53" s="34">
        <v>-116.44</v>
      </c>
      <c r="L53" s="34">
        <v>-13.426215105945207</v>
      </c>
      <c r="M53" s="34">
        <v>7.76</v>
      </c>
      <c r="N53" s="34">
        <v>12.95707950998203</v>
      </c>
      <c r="O53" s="34">
        <v>10.58</v>
      </c>
      <c r="P53" s="34">
        <v>16.28</v>
      </c>
      <c r="Q53" s="35">
        <v>11.72</v>
      </c>
      <c r="R53" s="33"/>
      <c r="V53" s="36"/>
    </row>
    <row r="54" spans="1:23" ht="28.2" x14ac:dyDescent="0.3">
      <c r="A54" s="19" t="s">
        <v>36</v>
      </c>
      <c r="B54" s="19" t="s">
        <v>73</v>
      </c>
      <c r="C54" s="34">
        <v>7.28</v>
      </c>
      <c r="D54" s="34">
        <v>3.5</v>
      </c>
      <c r="E54" s="34">
        <v>4.95</v>
      </c>
      <c r="F54" s="34">
        <v>4.2300000000000004</v>
      </c>
      <c r="G54" s="34">
        <v>-0.09</v>
      </c>
      <c r="H54" s="34">
        <v>0.52</v>
      </c>
      <c r="I54" s="34">
        <v>2.2000000000000002</v>
      </c>
      <c r="J54" s="34">
        <v>1.06</v>
      </c>
      <c r="K54" s="34">
        <v>-2.21</v>
      </c>
      <c r="L54" s="34">
        <v>0.44</v>
      </c>
      <c r="M54" s="34">
        <v>1.4867481499443815</v>
      </c>
      <c r="N54" s="34">
        <v>2.9947061216595143</v>
      </c>
      <c r="O54" s="34">
        <v>1.97</v>
      </c>
      <c r="P54" s="34">
        <v>2.98</v>
      </c>
      <c r="Q54" s="35">
        <v>2.33</v>
      </c>
      <c r="R54" s="27"/>
    </row>
    <row r="55" spans="1:23" ht="28.2" x14ac:dyDescent="0.3">
      <c r="A55" s="19" t="s">
        <v>37</v>
      </c>
      <c r="B55" s="19" t="s">
        <v>73</v>
      </c>
      <c r="C55" s="34">
        <v>3.3</v>
      </c>
      <c r="D55" s="34">
        <v>4.42</v>
      </c>
      <c r="E55" s="34">
        <v>4.0999999999999996</v>
      </c>
      <c r="F55" s="34">
        <v>5.49</v>
      </c>
      <c r="G55" s="34">
        <v>0</v>
      </c>
      <c r="H55" s="34">
        <v>0</v>
      </c>
      <c r="I55" s="34">
        <v>0</v>
      </c>
      <c r="J55" s="34">
        <v>0.38</v>
      </c>
      <c r="K55" s="34">
        <v>0</v>
      </c>
      <c r="L55" s="34">
        <v>0</v>
      </c>
      <c r="M55" s="34">
        <v>0</v>
      </c>
      <c r="N55" s="34">
        <v>0</v>
      </c>
      <c r="O55" s="34">
        <f>+O48/O50</f>
        <v>1.5773584905660376</v>
      </c>
      <c r="P55" s="34">
        <v>2.95</v>
      </c>
      <c r="Q55" s="35">
        <v>2.62</v>
      </c>
      <c r="V55" s="33"/>
      <c r="W55" s="37"/>
    </row>
    <row r="56" spans="1:23" ht="28.2" x14ac:dyDescent="0.3">
      <c r="A56" s="19" t="s">
        <v>38</v>
      </c>
      <c r="B56" s="19" t="s">
        <v>42</v>
      </c>
      <c r="C56" s="34">
        <v>30.34</v>
      </c>
      <c r="D56" s="34">
        <v>22.62</v>
      </c>
      <c r="E56" s="34">
        <v>24.41</v>
      </c>
      <c r="F56" s="34">
        <v>18.22</v>
      </c>
      <c r="G56" s="34">
        <v>0</v>
      </c>
      <c r="H56" s="34">
        <v>0</v>
      </c>
      <c r="I56" s="34">
        <v>0</v>
      </c>
      <c r="J56" s="34">
        <v>260.33</v>
      </c>
      <c r="K56" s="34">
        <v>0</v>
      </c>
      <c r="L56" s="34">
        <v>0</v>
      </c>
      <c r="M56" s="34">
        <v>0</v>
      </c>
      <c r="N56" s="34">
        <v>0</v>
      </c>
      <c r="O56" s="34">
        <f>+(O50/O48)*100</f>
        <v>63.397129186602875</v>
      </c>
      <c r="P56" s="34">
        <v>33.909999999999997</v>
      </c>
      <c r="Q56" s="35">
        <v>38.21</v>
      </c>
    </row>
    <row r="57" spans="1:23" ht="28.2" x14ac:dyDescent="0.3">
      <c r="A57" s="19" t="s">
        <v>39</v>
      </c>
      <c r="B57" s="19" t="s">
        <v>42</v>
      </c>
      <c r="C57" s="34">
        <v>40</v>
      </c>
      <c r="D57" s="34">
        <v>10</v>
      </c>
      <c r="E57" s="34">
        <v>20</v>
      </c>
      <c r="F57" s="34">
        <v>10</v>
      </c>
      <c r="G57" s="34">
        <v>0</v>
      </c>
      <c r="H57" s="34">
        <v>0</v>
      </c>
      <c r="I57" s="34">
        <v>0</v>
      </c>
      <c r="J57" s="34">
        <f>SUM(J50*10)</f>
        <v>5</v>
      </c>
      <c r="K57" s="34">
        <v>0</v>
      </c>
      <c r="L57" s="34">
        <v>0</v>
      </c>
      <c r="M57" s="34">
        <v>0</v>
      </c>
      <c r="N57" s="34">
        <v>0</v>
      </c>
      <c r="O57" s="34">
        <f>SUM(O50*10)</f>
        <v>26.5</v>
      </c>
      <c r="P57" s="34">
        <f>SUM(P50*10)</f>
        <v>24.5</v>
      </c>
      <c r="Q57" s="35">
        <f>SUM(Q50*10)</f>
        <v>21.0000012</v>
      </c>
      <c r="V57" s="36"/>
    </row>
    <row r="58" spans="1:23" ht="28.2" x14ac:dyDescent="0.3">
      <c r="A58" s="19" t="s">
        <v>40</v>
      </c>
      <c r="B58" s="19" t="s">
        <v>42</v>
      </c>
      <c r="C58" s="34">
        <v>5.53</v>
      </c>
      <c r="D58" s="34">
        <v>3.98</v>
      </c>
      <c r="E58" s="34">
        <v>7.55</v>
      </c>
      <c r="F58" s="34">
        <v>4.37</v>
      </c>
      <c r="G58" s="34">
        <v>0</v>
      </c>
      <c r="H58" s="34">
        <v>0</v>
      </c>
      <c r="I58" s="34">
        <v>0</v>
      </c>
      <c r="J58" s="34">
        <v>2.94</v>
      </c>
      <c r="K58" s="34">
        <v>0</v>
      </c>
      <c r="L58" s="34">
        <v>0</v>
      </c>
      <c r="M58" s="34">
        <v>0</v>
      </c>
      <c r="N58" s="34">
        <v>0</v>
      </c>
      <c r="O58" s="34">
        <f>+(O50/O49)*100</f>
        <v>6.7088607594936702</v>
      </c>
      <c r="P58" s="34">
        <v>5.52</v>
      </c>
      <c r="Q58" s="35">
        <v>4.4800000000000004</v>
      </c>
    </row>
    <row r="59" spans="1:23" ht="28.2" x14ac:dyDescent="0.3">
      <c r="A59" s="19" t="s">
        <v>41</v>
      </c>
      <c r="B59" s="19" t="s">
        <v>73</v>
      </c>
      <c r="C59" s="34">
        <v>1.5</v>
      </c>
      <c r="D59" s="34">
        <v>0.76</v>
      </c>
      <c r="E59" s="34">
        <v>0.81</v>
      </c>
      <c r="F59" s="34">
        <v>0.75</v>
      </c>
      <c r="G59" s="34">
        <v>0.53</v>
      </c>
      <c r="H59" s="34">
        <v>0.56999999999999995</v>
      </c>
      <c r="I59" s="34">
        <v>0.52</v>
      </c>
      <c r="J59" s="34">
        <v>0.49</v>
      </c>
      <c r="K59" s="34">
        <v>0.27</v>
      </c>
      <c r="L59" s="34">
        <v>0.42861708541256438</v>
      </c>
      <c r="M59" s="34">
        <v>0.38126428265334394</v>
      </c>
      <c r="N59" s="34">
        <v>0.5423769364198584</v>
      </c>
      <c r="O59" s="34">
        <v>0.67</v>
      </c>
      <c r="P59" s="34">
        <v>0.56999999999999995</v>
      </c>
      <c r="Q59" s="35">
        <v>0.59230836014470212</v>
      </c>
    </row>
    <row r="60" spans="1:23" s="33" customFormat="1" ht="28.2" x14ac:dyDescent="0.3">
      <c r="A60" s="38" t="s">
        <v>43</v>
      </c>
      <c r="B60" s="19" t="s">
        <v>73</v>
      </c>
      <c r="C60" s="34">
        <v>1.24</v>
      </c>
      <c r="D60" s="34">
        <v>1.28</v>
      </c>
      <c r="E60" s="34">
        <v>1.24</v>
      </c>
      <c r="F60" s="34">
        <v>1.1200000000000001</v>
      </c>
      <c r="G60" s="34">
        <v>0.76</v>
      </c>
      <c r="H60" s="34">
        <v>0.77</v>
      </c>
      <c r="I60" s="34">
        <v>0.87</v>
      </c>
      <c r="J60" s="34">
        <v>0.75</v>
      </c>
      <c r="K60" s="34">
        <v>0.7</v>
      </c>
      <c r="L60" s="34">
        <v>0.84</v>
      </c>
      <c r="M60" s="34">
        <v>0.95</v>
      </c>
      <c r="N60" s="34">
        <f>+N7/N37</f>
        <v>1.4493380579116575</v>
      </c>
      <c r="O60" s="34">
        <v>1.23</v>
      </c>
      <c r="P60" s="34">
        <v>1.34</v>
      </c>
      <c r="Q60" s="35">
        <v>1.33</v>
      </c>
    </row>
    <row r="61" spans="1:23" s="33" customFormat="1" ht="28.2" x14ac:dyDescent="0.3">
      <c r="A61" s="38" t="s">
        <v>71</v>
      </c>
      <c r="B61" s="19" t="s">
        <v>73</v>
      </c>
      <c r="C61" s="34">
        <v>1.58</v>
      </c>
      <c r="D61" s="34">
        <v>1.69</v>
      </c>
      <c r="E61" s="34">
        <v>1.59</v>
      </c>
      <c r="F61" s="34">
        <v>1.75</v>
      </c>
      <c r="G61" s="34">
        <v>1.88</v>
      </c>
      <c r="H61" s="34">
        <v>1.94</v>
      </c>
      <c r="I61" s="34">
        <v>1.93</v>
      </c>
      <c r="J61" s="34">
        <v>2.0499999999999998</v>
      </c>
      <c r="K61" s="34">
        <v>0.43125596139055994</v>
      </c>
      <c r="L61" s="34">
        <v>0.48</v>
      </c>
      <c r="M61" s="34">
        <v>0.55613259439310114</v>
      </c>
      <c r="N61" s="34">
        <v>0.593879154397012</v>
      </c>
      <c r="O61" s="34">
        <v>0.66</v>
      </c>
      <c r="P61" s="34">
        <v>0.74</v>
      </c>
      <c r="Q61" s="35">
        <v>0.74229999999999996</v>
      </c>
    </row>
    <row r="62" spans="1:23" s="33" customFormat="1" ht="28.2" x14ac:dyDescent="0.3">
      <c r="A62" s="38" t="s">
        <v>72</v>
      </c>
      <c r="B62" s="38" t="s">
        <v>42</v>
      </c>
      <c r="C62" s="34">
        <v>49.34</v>
      </c>
      <c r="D62" s="34">
        <v>45.55</v>
      </c>
      <c r="E62" s="34">
        <v>48.67</v>
      </c>
      <c r="F62" s="34">
        <v>44.66</v>
      </c>
      <c r="G62" s="34">
        <v>41.05</v>
      </c>
      <c r="H62" s="34">
        <v>38.61</v>
      </c>
      <c r="I62" s="34">
        <v>38.450000000000003</v>
      </c>
      <c r="J62" s="34">
        <v>35.24</v>
      </c>
      <c r="K62" s="34">
        <v>21.81</v>
      </c>
      <c r="L62" s="34">
        <v>19.733553043792131</v>
      </c>
      <c r="M62" s="34">
        <v>20.082806891495281</v>
      </c>
      <c r="N62" s="34">
        <f>+N34/N24*100</f>
        <v>21.352877949907821</v>
      </c>
      <c r="O62" s="34">
        <v>18.73</v>
      </c>
      <c r="P62" s="34">
        <v>17.989999999999998</v>
      </c>
      <c r="Q62" s="35">
        <v>18.329999999999998</v>
      </c>
    </row>
    <row r="63" spans="1:23" s="33" customFormat="1" ht="28.2" x14ac:dyDescent="0.3">
      <c r="A63" s="38" t="s">
        <v>44</v>
      </c>
      <c r="B63" s="38" t="s">
        <v>42</v>
      </c>
      <c r="C63" s="34">
        <v>25.6</v>
      </c>
      <c r="D63" s="34">
        <v>9.56</v>
      </c>
      <c r="E63" s="34">
        <v>15.11</v>
      </c>
      <c r="F63" s="34">
        <v>9.9700000000000006</v>
      </c>
      <c r="G63" s="34">
        <v>-5.27</v>
      </c>
      <c r="H63" s="34">
        <v>-3.04</v>
      </c>
      <c r="I63" s="34">
        <v>5.94</v>
      </c>
      <c r="J63" s="34">
        <v>0.36</v>
      </c>
      <c r="K63" s="34">
        <v>-60.98</v>
      </c>
      <c r="L63" s="34">
        <v>-10.413346662717847</v>
      </c>
      <c r="M63" s="34">
        <v>5.33</v>
      </c>
      <c r="N63" s="34">
        <f>+N15/N34*100</f>
        <v>18.287098598839229</v>
      </c>
      <c r="O63" s="34">
        <v>11.87</v>
      </c>
      <c r="P63" s="34">
        <v>19.68</v>
      </c>
      <c r="Q63" s="35">
        <v>13.7</v>
      </c>
    </row>
    <row r="64" spans="1:23" s="33" customFormat="1" ht="28.2" x14ac:dyDescent="0.3">
      <c r="A64" s="38" t="s">
        <v>45</v>
      </c>
      <c r="B64" s="38" t="s">
        <v>42</v>
      </c>
      <c r="C64" s="34">
        <v>23.34</v>
      </c>
      <c r="D64" s="34">
        <v>9.5399999999999991</v>
      </c>
      <c r="E64" s="34">
        <v>17.03</v>
      </c>
      <c r="F64" s="34">
        <v>10.56</v>
      </c>
      <c r="G64" s="34">
        <v>-1.52</v>
      </c>
      <c r="H64" s="34">
        <v>1.81</v>
      </c>
      <c r="I64" s="34">
        <v>7.43</v>
      </c>
      <c r="J64" s="34">
        <v>5.1100000000000003</v>
      </c>
      <c r="K64" s="34">
        <v>-12.93</v>
      </c>
      <c r="L64" s="34">
        <v>2.4</v>
      </c>
      <c r="M64" s="34">
        <v>7.98</v>
      </c>
      <c r="N64" s="34">
        <f>SUM(N11/N37)*100</f>
        <v>37.685096435553255</v>
      </c>
      <c r="O64" s="34">
        <v>16.77</v>
      </c>
      <c r="P64" s="34">
        <v>16.670000000000002</v>
      </c>
      <c r="Q64" s="35">
        <v>12.79</v>
      </c>
    </row>
    <row r="65" spans="1:23" s="33" customFormat="1" ht="28.2" x14ac:dyDescent="0.3">
      <c r="A65" s="38" t="s">
        <v>46</v>
      </c>
      <c r="B65" s="38" t="s">
        <v>42</v>
      </c>
      <c r="C65" s="34">
        <v>12.63</v>
      </c>
      <c r="D65" s="34">
        <v>4.3499999999999996</v>
      </c>
      <c r="E65" s="34">
        <v>7.35</v>
      </c>
      <c r="F65" s="34">
        <v>4.45</v>
      </c>
      <c r="G65" s="34">
        <v>-2.17</v>
      </c>
      <c r="H65" s="34">
        <v>-1.17</v>
      </c>
      <c r="I65" s="34">
        <v>2.2799999999999998</v>
      </c>
      <c r="J65" s="34">
        <v>0.13</v>
      </c>
      <c r="K65" s="34">
        <v>-13.3</v>
      </c>
      <c r="L65" s="34">
        <v>-2.0499999999999998</v>
      </c>
      <c r="M65" s="34">
        <v>1.07</v>
      </c>
      <c r="N65" s="34">
        <f>SUM(N15/N24)*100</f>
        <v>3.9048218443894438</v>
      </c>
      <c r="O65" s="34">
        <f>+O15/O24*100</f>
        <v>2.2233279598111517</v>
      </c>
      <c r="P65" s="34">
        <v>3.54</v>
      </c>
      <c r="Q65" s="35">
        <v>2.5099999999999998</v>
      </c>
      <c r="V65" s="36"/>
      <c r="W65" s="36"/>
    </row>
    <row r="66" spans="1:23" s="33" customFormat="1" ht="28.2" x14ac:dyDescent="0.3">
      <c r="A66" s="38" t="s">
        <v>47</v>
      </c>
      <c r="B66" s="38" t="s">
        <v>42</v>
      </c>
      <c r="C66" s="34">
        <v>23.39</v>
      </c>
      <c r="D66" s="34">
        <v>28.61</v>
      </c>
      <c r="E66" s="34">
        <v>24.32</v>
      </c>
      <c r="F66" s="34">
        <v>31.77</v>
      </c>
      <c r="G66" s="34">
        <v>41.38</v>
      </c>
      <c r="H66" s="34">
        <v>45.89</v>
      </c>
      <c r="I66" s="34">
        <v>44.89</v>
      </c>
      <c r="J66" s="34">
        <v>50.04</v>
      </c>
      <c r="K66" s="34">
        <v>67.62</v>
      </c>
      <c r="L66" s="34">
        <v>70.5</v>
      </c>
      <c r="M66" s="34">
        <v>70.496766240310421</v>
      </c>
      <c r="N66" s="34">
        <f>SUM(N36)/SUM(N34,N36)*100</f>
        <v>64.475345387133871</v>
      </c>
      <c r="O66" s="34">
        <f>SUM(O36)/SUM(O34,O36)*100</f>
        <v>67.984182313437856</v>
      </c>
      <c r="P66" s="34">
        <v>66.69</v>
      </c>
      <c r="Q66" s="35">
        <v>66.13</v>
      </c>
    </row>
  </sheetData>
  <mergeCells count="1">
    <mergeCell ref="U4:U5"/>
  </mergeCells>
  <phoneticPr fontId="2" type="noConversion"/>
  <printOptions horizontalCentered="1"/>
  <pageMargins left="0.2" right="0.28999999999999998" top="0.75" bottom="0.75" header="0.3" footer="0.3"/>
  <pageSetup paperSize="9" scale="26" orientation="landscape" r:id="rId1"/>
  <ignoredErrors>
    <ignoredError sqref="C28:D28 F2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Chamika Jeewantha</dc:creator>
  <cp:lastModifiedBy>Chaminda Tillakaratne</cp:lastModifiedBy>
  <cp:lastPrinted>2026-05-09T08:16:51Z</cp:lastPrinted>
  <dcterms:created xsi:type="dcterms:W3CDTF">2015-06-05T18:17:20Z</dcterms:created>
  <dcterms:modified xsi:type="dcterms:W3CDTF">2026-06-12T14:57:47Z</dcterms:modified>
</cp:coreProperties>
</file>